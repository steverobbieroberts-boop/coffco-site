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de Study" sheetId="1" state="visible" r:id="rId3"/>
    <sheet name="Scoring Ke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<sst xmlns="http://schemas.openxmlformats.org/spreadsheetml/2006/main" count="162" uniqueCount="132">
  <si>
    <t xml:space="preserve">CoffCo Design Concept Analysis — Machine Type Weighted Trade Study  (v4: 8-year TCO added; individual cost/maintenance/power scores consolidated)</t>
  </si>
  <si>
    <t xml:space="preserve">Scores 1–10 (10 = best for CoffCo hotel room design concept).  Weights: ConOps=5, Safety=4, Bev. Quality=5, Footprint=3, 8-yr TCO=4, Noise=2, Weight=1.  Max = 240.  8-yr TCO (col M) = purchase + (consumables + maintenance + energy) × 8 years at 2 brews/day, £0.25/kWh.  ★ = criteria added in v2/v4.</t>
  </si>
  <si>
    <t xml:space="preserve">Machine type</t>
  </si>
  <si>
    <t xml:space="preserve">Raw data (reference)</t>
  </si>
  <si>
    <t xml:space="preserve">Original criteria</t>
  </si>
  <si>
    <t xml:space="preserve">NEW ★</t>
  </si>
  <si>
    <t xml:space="preserve">Original criteria (cont.)</t>
  </si>
  <si>
    <t xml:space="preserve">Weighted total</t>
  </si>
  <si>
    <t xml:space="preserve">Ranking</t>
  </si>
  <si>
    <t xml:space="preserve">Key examples</t>
  </si>
  <si>
    <t xml:space="preserve">H (mm)</t>
  </si>
  <si>
    <t xml:space="preserve">W (mm)</t>
  </si>
  <si>
    <t xml:space="preserve">D (mm)</t>
  </si>
  <si>
    <t xml:space="preserve">Max dim (mm)</t>
  </si>
  <si>
    <t xml:space="preserve">Avg weight (kg)</t>
  </si>
  <si>
    <t xml:space="preserve">Purchase cost (£)</t>
  </si>
  <si>
    <t xml:space="preserve">Peak power (kW)</t>
  </si>
  <si>
    <t xml:space="preserve">Annual maint (£/yr)</t>
  </si>
  <si>
    <t xml:space="preserve">Consumable cost / brew (£)</t>
  </si>
  <si>
    <t xml:space="preserve">Annual energy cost (£/yr at 2 brews)</t>
  </si>
  <si>
    <t xml:space="preserve">8-year TCO (£)</t>
  </si>
  <si>
    <t xml:space="preserve">ConOps fit</t>
  </si>
  <si>
    <t xml:space="preserve">Safety</t>
  </si>
  <si>
    <t xml:space="preserve">Bev. quality ★</t>
  </si>
  <si>
    <t xml:space="preserve">Footprint</t>
  </si>
  <si>
    <t xml:space="preserve">Weight</t>
  </si>
  <si>
    <t xml:space="preserve">8-yr TCO score ★</t>
  </si>
  <si>
    <t xml:space="preserve">Noise ★</t>
  </si>
  <si>
    <t xml:space="preserve">Wtd total (/240)</t>
  </si>
  <si>
    <t xml:space="preserve">% of max</t>
  </si>
  <si>
    <t xml:space="preserve">Rank</t>
  </si>
  <si>
    <t xml:space="preserve">CRITERION WEIGHTS  →</t>
  </si>
  <si>
    <t xml:space="preserve">Max = 240</t>
  </si>
  <si>
    <t xml:space="preserve">Single-serve</t>
  </si>
  <si>
    <t xml:space="preserve">Nespresso, Keurig, Tassimo</t>
  </si>
  <si>
    <t xml:space="preserve">Multi-serve drip</t>
  </si>
  <si>
    <t xml:space="preserve">Russell Hobbs, Morphy Richards, Moccamaster</t>
  </si>
  <si>
    <t xml:space="preserve">Espresso machine</t>
  </si>
  <si>
    <t xml:space="preserve">De'Longhi, Sage Bambino, Gaggia, La Marzocco</t>
  </si>
  <si>
    <t xml:space="preserve">Drip coffee maker</t>
  </si>
  <si>
    <t xml:space="preserve">Technivorm, OXO Brew, Bonavita</t>
  </si>
  <si>
    <t xml:space="preserve">Bean-to-cup</t>
  </si>
  <si>
    <t xml:space="preserve">Jura, De'Longhi Magnifica, Philips 3200, Sage Oracle</t>
  </si>
  <si>
    <t xml:space="preserve">French press</t>
  </si>
  <si>
    <t xml:space="preserve">Bodum, Fellow Clara, Le Creuset</t>
  </si>
  <si>
    <t xml:space="preserve">Pour-over brewer</t>
  </si>
  <si>
    <t xml:space="preserve">Hario V60, Chemex, Fellow Stagg, Origami</t>
  </si>
  <si>
    <t xml:space="preserve">AeroPress</t>
  </si>
  <si>
    <t xml:space="preserve">AeroPress Go, AeroPress XL</t>
  </si>
  <si>
    <t xml:space="preserve">Moka pot</t>
  </si>
  <si>
    <t xml:space="preserve">Bialetti Moka Express, Alessi, Stellar</t>
  </si>
  <si>
    <t xml:space="preserve">Smart / IoT</t>
  </si>
  <si>
    <t xml:space="preserve">Jura J.O.E., Sage Barista Touch, Nespresso Vertuo connected</t>
  </si>
  <si>
    <t xml:space="preserve">Touchless</t>
  </si>
  <si>
    <t xml:space="preserve">Scanomat TopBrewer, Rex-Royal, Coffetek commercial</t>
  </si>
  <si>
    <t xml:space="preserve">CoffCo Trade Study v4 — Scoring Key</t>
  </si>
  <si>
    <t xml:space="preserve">Criterion weights, rationale and data sources</t>
  </si>
  <si>
    <t xml:space="preserve">Criterion</t>
  </si>
  <si>
    <t xml:space="preserve">Score col</t>
  </si>
  <si>
    <t xml:space="preserve">Raw data</t>
  </si>
  <si>
    <t xml:space="preserve">Max pts</t>
  </si>
  <si>
    <t xml:space="preserve">Rationale</t>
  </si>
  <si>
    <t xml:space="preserve">Version</t>
  </si>
  <si>
    <t xml:space="preserve">N</t>
  </si>
  <si>
    <t xml:space="preserve">—</t>
  </si>
  <si>
    <t xml:space="preserve">Operational model alignment — primary design driver</t>
  </si>
  <si>
    <t xml:space="preserve">v1</t>
  </si>
  <si>
    <t xml:space="preserve">O</t>
  </si>
  <si>
    <t xml:space="preserve">Unsupervised hotel room deployment safety</t>
  </si>
  <si>
    <t xml:space="preserve">P</t>
  </si>
  <si>
    <t xml:space="preserve">Café-quality barista output incl. milk drinks — core value proposition</t>
  </si>
  <si>
    <t xml:space="preserve">v2</t>
  </si>
  <si>
    <t xml:space="preserve">Q</t>
  </si>
  <si>
    <t xml:space="preserve">F(max)</t>
  </si>
  <si>
    <t xml:space="preserve">300×300×300mm hard constraint (SRS 3.2)</t>
  </si>
  <si>
    <t xml:space="preserve">8-yr TCO ★</t>
  </si>
  <si>
    <t xml:space="preserve">S</t>
  </si>
  <si>
    <t xml:space="preserve">M(£)</t>
  </si>
  <si>
    <t xml:space="preserve">8-year total cost of ownership per room at 2 brews/day — replaces individual cost/maint/power scores</t>
  </si>
  <si>
    <t xml:space="preserve">v4</t>
  </si>
  <si>
    <t xml:space="preserve">T</t>
  </si>
  <si>
    <t xml:space="preserve">Hotel room early-morning context; guest experience</t>
  </si>
  <si>
    <t xml:space="preserve">R</t>
  </si>
  <si>
    <t xml:space="preserve">G(kg)</t>
  </si>
  <si>
    <t xml:space="preserve">Deployment and chassis loading; lowest priority</t>
  </si>
  <si>
    <t xml:space="preserve">TOTAL</t>
  </si>
  <si>
    <t xml:space="preserve">Quantitative scoring bands — raw data to score conversion</t>
  </si>
  <si>
    <t xml:space="preserve">Score</t>
  </si>
  <si>
    <t xml:space="preserve">Footprint (col F)</t>
  </si>
  <si>
    <t xml:space="preserve">Weight (col G)</t>
  </si>
  <si>
    <t xml:space="preserve">8-yr TCO (col M)</t>
  </si>
  <si>
    <t xml:space="preserve">Bev. quality guide</t>
  </si>
  <si>
    <t xml:space="preserve">Noise guide</t>
  </si>
  <si>
    <t xml:space="preserve">≤300mm</t>
  </si>
  <si>
    <t xml:space="preserve">≤0.5 kg</t>
  </si>
  <si>
    <t xml:space="preserve">≤£800</t>
  </si>
  <si>
    <t xml:space="preserve">Full barista + milk drinks</t>
  </si>
  <si>
    <t xml:space="preserve">Silent device</t>
  </si>
  <si>
    <t xml:space="preserve">301–340mm</t>
  </si>
  <si>
    <t xml:space="preserve">0.6–2 kg</t>
  </si>
  <si>
    <t xml:space="preserve">£801–1,200</t>
  </si>
  <si>
    <t xml:space="preserve">Near-barista; limited milk</t>
  </si>
  <si>
    <t xml:space="preserve">Very quiet (gravity/thermo)</t>
  </si>
  <si>
    <t xml:space="preserve">341–380mm</t>
  </si>
  <si>
    <t xml:space="preserve">2.1–4 kg</t>
  </si>
  <si>
    <t xml:space="preserve">£1,201–1,800</t>
  </si>
  <si>
    <t xml:space="preserve">Good filter; no espresso</t>
  </si>
  <si>
    <t xml:space="preserve">Quiet pump</t>
  </si>
  <si>
    <t xml:space="preserve">381–430mm</t>
  </si>
  <si>
    <t xml:space="preserve">£1,801–2,500</t>
  </si>
  <si>
    <t xml:space="preserve">Filter only; batch risk</t>
  </si>
  <si>
    <t xml:space="preserve">4.1–7 kg</t>
  </si>
  <si>
    <t xml:space="preserve">£2,501–3,000</t>
  </si>
  <si>
    <t xml:space="preserve">Audible pump</t>
  </si>
  <si>
    <t xml:space="preserve">431–500mm</t>
  </si>
  <si>
    <t xml:space="preserve">£3,001–3,500</t>
  </si>
  <si>
    <t xml:space="preserve">Basic/instant</t>
  </si>
  <si>
    <t xml:space="preserve">Pump + steam</t>
  </si>
  <si>
    <t xml:space="preserve">7.1–10 kg</t>
  </si>
  <si>
    <t xml:space="preserve">£3,501–4,500</t>
  </si>
  <si>
    <t xml:space="preserve">&gt;500mm</t>
  </si>
  <si>
    <t xml:space="preserve">£4,501–6,000</t>
  </si>
  <si>
    <t xml:space="preserve">Concentrate only</t>
  </si>
  <si>
    <t xml:space="preserve">Grinder or commercial</t>
  </si>
  <si>
    <t xml:space="preserve">10–20 kg</t>
  </si>
  <si>
    <t xml:space="preserve">£6,001–8,000</t>
  </si>
  <si>
    <t xml:space="preserve">&gt;600mm</t>
  </si>
  <si>
    <t xml:space="preserve">&gt;20 kg</t>
  </si>
  <si>
    <t xml:space="preserve">&gt;£8,000</t>
  </si>
  <si>
    <t xml:space="preserve">Instant/sachet</t>
  </si>
  <si>
    <t xml:space="preserve">Loud commercial</t>
  </si>
  <si>
    <t xml:space="preserve">TCO formula (col M): = Purchase cost (H) + [ Consumable/brew (K) × 730 brews/yr + Annual maintenance (J) + Annual energy £/yr (L) ] × 8 years.  Electricity rate: £0.25/kWh.  Brews: 2/day × 365 = 730/year.  8-yr TCO score replaces the three separate v3 scores for purchase cost, maintenance, and power (combined v3 weight 7 → v4 weight 4, max 40 pts).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</si>
</sst>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0.0"/>
    <numFmt numFmtId="167" formatCode="\£#,##0"/>
    <numFmt numFmtId="168" formatCode="\£0.00"/>
    <numFmt numFmtId="169" formatCode="\£#,##0.00"/>
    <numFmt numFmtId="170" formatCode="0"/>
    <numFmt numFmtId="171" formatCode="0.0%"/>
    <numFmt numFmtId="172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40404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404040"/>
      <name val="Arial"/>
      <family val="0"/>
      <charset val="1"/>
    </font>
    <font>
      <b val="true"/>
      <sz val="10"/>
      <color rgb="FFFFD700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50505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sz val="9"/>
      <color rgb="FF000000"/>
      <name val="Arial"/>
      <family val="0"/>
      <charset val="1"/>
    </font>
    <font>
      <i val="true"/>
      <sz val="9"/>
      <color rgb="FF505050"/>
      <name val="Arial"/>
      <family val="0"/>
      <charset val="1"/>
    </font>
  </fonts>
  <fills count="26">
    <fill>
      <patternFill patternType="none"/>
    </fill>
    <fill>
      <patternFill patternType="gray125"/>
    </fill>
    <fill>
      <patternFill patternType="solid">
        <fgColor rgb="FF1F3864"/>
        <bgColor rgb="FF2E4057"/>
      </patternFill>
    </fill>
    <fill>
      <patternFill patternType="solid">
        <fgColor rgb="FFF2F2F2"/>
        <bgColor rgb="FFF0F7E3"/>
      </patternFill>
    </fill>
    <fill>
      <patternFill patternType="solid">
        <fgColor rgb="FF2E4057"/>
        <bgColor rgb="FF1F3864"/>
      </patternFill>
    </fill>
    <fill>
      <patternFill patternType="solid">
        <fgColor rgb="FF0F6E56"/>
        <bgColor rgb="FF008080"/>
      </patternFill>
    </fill>
    <fill>
      <patternFill patternType="solid">
        <fgColor rgb="FF4B1C6B"/>
        <bgColor rgb="FF404040"/>
      </patternFill>
    </fill>
    <fill>
      <patternFill patternType="solid">
        <fgColor rgb="FFD9D9D9"/>
        <bgColor rgb="FFDED9F9"/>
      </patternFill>
    </fill>
    <fill>
      <patternFill patternType="solid">
        <fgColor rgb="FFFFFFFF"/>
        <bgColor rgb="FFF9F9F9"/>
      </patternFill>
    </fill>
    <fill>
      <patternFill patternType="solid">
        <fgColor rgb="FFE8EDF5"/>
        <bgColor rgb="FFEDE9FB"/>
      </patternFill>
    </fill>
    <fill>
      <patternFill patternType="solid">
        <fgColor rgb="FFC0DD97"/>
        <bgColor rgb="FFD5E8A8"/>
      </patternFill>
    </fill>
    <fill>
      <patternFill patternType="solid">
        <fgColor rgb="FFEAF3DE"/>
        <bgColor rgb="FFF0F7E3"/>
      </patternFill>
    </fill>
    <fill>
      <patternFill patternType="solid">
        <fgColor rgb="FFD4CCF7"/>
        <bgColor rgb="FFC9C4F5"/>
      </patternFill>
    </fill>
    <fill>
      <patternFill patternType="solid">
        <fgColor rgb="FFF9F9F9"/>
        <bgColor rgb="FFFFFFFF"/>
      </patternFill>
    </fill>
    <fill>
      <patternFill patternType="solid">
        <fgColor rgb="FFFAC775"/>
        <bgColor rgb="FFF7C1C1"/>
      </patternFill>
    </fill>
    <fill>
      <patternFill patternType="solid">
        <fgColor rgb="FF1D9E75"/>
        <bgColor rgb="FF008080"/>
      </patternFill>
    </fill>
    <fill>
      <patternFill patternType="solid">
        <fgColor rgb="FFC9C4F5"/>
        <bgColor rgb="FFD4CCF7"/>
      </patternFill>
    </fill>
    <fill>
      <patternFill patternType="solid">
        <fgColor rgb="FFFAEEDA"/>
        <bgColor rgb="FFF0F7E3"/>
      </patternFill>
    </fill>
    <fill>
      <patternFill patternType="solid">
        <fgColor rgb="FFF7C1C1"/>
        <bgColor rgb="FFCCCCCC"/>
      </patternFill>
    </fill>
    <fill>
      <patternFill patternType="solid">
        <fgColor rgb="FFDED9F9"/>
        <bgColor rgb="FFD9D9D9"/>
      </patternFill>
    </fill>
    <fill>
      <patternFill patternType="solid">
        <fgColor rgb="FFBDB5F0"/>
        <bgColor rgb="FFC9C4F5"/>
      </patternFill>
    </fill>
    <fill>
      <patternFill patternType="solid">
        <fgColor rgb="FFF09595"/>
        <bgColor rgb="FFF7C1C1"/>
      </patternFill>
    </fill>
    <fill>
      <patternFill patternType="solid">
        <fgColor rgb="FFEDE9FB"/>
        <bgColor rgb="FFE8EDF5"/>
      </patternFill>
    </fill>
    <fill>
      <patternFill patternType="solid">
        <fgColor rgb="FFD5E8A8"/>
        <bgColor rgb="FFC0DD97"/>
      </patternFill>
    </fill>
    <fill>
      <patternFill patternType="solid">
        <fgColor rgb="FFF0F7E3"/>
        <bgColor rgb="FFEAF3DE"/>
      </patternFill>
    </fill>
    <fill>
      <patternFill patternType="solid">
        <fgColor rgb="FFEF9F27"/>
        <bgColor rgb="FFF0959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1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2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D5E8A8"/>
      <rgbColor rgb="FFFF00FF"/>
      <rgbColor rgb="FF00FFFF"/>
      <rgbColor rgb="FF800000"/>
      <rgbColor rgb="FF008000"/>
      <rgbColor rgb="FF000080"/>
      <rgbColor rgb="FF808000"/>
      <rgbColor rgb="FF800080"/>
      <rgbColor rgb="FF0F6E56"/>
      <rgbColor rgb="FFCCCCCC"/>
      <rgbColor rgb="FF808080"/>
      <rgbColor rgb="FFD9D9D9"/>
      <rgbColor rgb="FF993366"/>
      <rgbColor rgb="FFF0F7E3"/>
      <rgbColor rgb="FFE8EDF5"/>
      <rgbColor rgb="FF4B1C6B"/>
      <rgbColor rgb="FFF09595"/>
      <rgbColor rgb="FF0066CC"/>
      <rgbColor rgb="FFD4CCF7"/>
      <rgbColor rgb="FF000080"/>
      <rgbColor rgb="FFFF00FF"/>
      <rgbColor rgb="FFF9F9F9"/>
      <rgbColor rgb="FF00FFFF"/>
      <rgbColor rgb="FF800080"/>
      <rgbColor rgb="FF800000"/>
      <rgbColor rgb="FF008080"/>
      <rgbColor rgb="FF0000FF"/>
      <rgbColor rgb="FF00CCFF"/>
      <rgbColor rgb="FFF2F2F2"/>
      <rgbColor rgb="FFEAF3DE"/>
      <rgbColor rgb="FFFAEEDA"/>
      <rgbColor rgb="FFC9C4F5"/>
      <rgbColor rgb="FFF7C1C1"/>
      <rgbColor rgb="FFBDB5F0"/>
      <rgbColor rgb="FFFAC775"/>
      <rgbColor rgb="FF3366FF"/>
      <rgbColor rgb="FFEDE9FB"/>
      <rgbColor rgb="FFC0DD97"/>
      <rgbColor rgb="FFFFD700"/>
      <rgbColor rgb="FFEF9F27"/>
      <rgbColor rgb="FFFF6600"/>
      <rgbColor rgb="FF505050"/>
      <rgbColor rgb="FFDED9F9"/>
      <rgbColor rgb="FF1F3864"/>
      <rgbColor rgb="FF1D9E75"/>
      <rgbColor rgb="FF003300"/>
      <rgbColor rgb="FF333300"/>
      <rgbColor rgb="FF993300"/>
      <rgbColor rgb="FF993366"/>
      <rgbColor rgb="FF2E4057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N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2"/>
    <col collapsed="false" customWidth="true" hidden="false" outlineLevel="0" max="5" min="3" style="0" width="8"/>
    <col collapsed="false" customWidth="true" hidden="false" outlineLevel="0" max="7" min="6" style="0" width="10"/>
    <col collapsed="false" customWidth="true" hidden="false" outlineLevel="0" max="8" min="8" style="0" width="13"/>
    <col collapsed="false" customWidth="true" hidden="false" outlineLevel="0" max="9" min="9" style="0" width="10"/>
    <col collapsed="false" customWidth="true" hidden="false" outlineLevel="0" max="10" min="10" style="0" width="16"/>
    <col collapsed="false" customWidth="true" hidden="false" outlineLevel="0" max="12" min="11" style="0" width="17"/>
    <col collapsed="false" customWidth="true" hidden="false" outlineLevel="0" max="13" min="13" style="0" width="13"/>
    <col collapsed="false" customWidth="true" hidden="false" outlineLevel="0" max="14" min="14" style="0" width="10"/>
    <col collapsed="false" customWidth="true" hidden="false" outlineLevel="0" max="15" min="15" style="0" width="9"/>
    <col collapsed="false" customWidth="true" hidden="false" outlineLevel="0" max="17" min="16" style="0" width="11"/>
    <col collapsed="false" customWidth="true" hidden="false" outlineLevel="0" max="18" min="18" style="0" width="9"/>
    <col collapsed="false" customWidth="true" hidden="false" outlineLevel="0" max="19" min="19" style="0" width="11"/>
    <col collapsed="false" customWidth="true" hidden="false" outlineLevel="0" max="20" min="20" style="0" width="9"/>
    <col collapsed="false" customWidth="true" hidden="false" outlineLevel="0" max="21" min="21" style="0" width="16"/>
    <col collapsed="false" customWidth="true" hidden="false" outlineLevel="0" max="22" min="22" style="0" width="10"/>
    <col collapsed="false" customWidth="true" hidden="false" outlineLevel="0" max="23" min="23" style="0" width="7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customFormat="false" ht="43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customFormat="false" ht="6" hidden="false" customHeight="true" outlineLevel="0" collapsed="false"/>
    <row r="4" customFormat="false" ht="21.75" hidden="false" customHeight="true" outlineLevel="0" collapsed="false">
      <c r="A4" s="3" t="s">
        <v>2</v>
      </c>
      <c r="B4" s="3"/>
      <c r="C4" s="4" t="s">
        <v>3</v>
      </c>
      <c r="D4" s="4"/>
      <c r="E4" s="4"/>
      <c r="F4" s="4"/>
      <c r="G4" s="4"/>
      <c r="H4" s="4"/>
      <c r="I4" s="4"/>
      <c r="J4" s="4"/>
      <c r="K4" s="4"/>
      <c r="L4" s="4"/>
      <c r="M4" s="4"/>
      <c r="N4" s="5" t="s">
        <v>4</v>
      </c>
      <c r="O4" s="5"/>
      <c r="P4" s="6" t="s">
        <v>5</v>
      </c>
      <c r="Q4" s="5" t="s">
        <v>6</v>
      </c>
      <c r="R4" s="5"/>
      <c r="S4" s="6" t="s">
        <v>5</v>
      </c>
      <c r="T4" s="6" t="s">
        <v>5</v>
      </c>
      <c r="U4" s="7" t="s">
        <v>7</v>
      </c>
      <c r="V4" s="3" t="s">
        <v>8</v>
      </c>
      <c r="W4" s="3"/>
    </row>
    <row r="5" customFormat="false" ht="43.5" hidden="false" customHeight="true" outlineLevel="0" collapsed="false">
      <c r="A5" s="8" t="s">
        <v>2</v>
      </c>
      <c r="B5" s="8" t="s">
        <v>9</v>
      </c>
      <c r="C5" s="8" t="s">
        <v>10</v>
      </c>
      <c r="D5" s="8" t="s">
        <v>11</v>
      </c>
      <c r="E5" s="8" t="s">
        <v>12</v>
      </c>
      <c r="F5" s="8" t="s">
        <v>13</v>
      </c>
      <c r="G5" s="8" t="s">
        <v>14</v>
      </c>
      <c r="H5" s="8" t="s">
        <v>15</v>
      </c>
      <c r="I5" s="8" t="s">
        <v>16</v>
      </c>
      <c r="J5" s="8" t="s">
        <v>17</v>
      </c>
      <c r="K5" s="8" t="s">
        <v>18</v>
      </c>
      <c r="L5" s="8" t="s">
        <v>19</v>
      </c>
      <c r="M5" s="8" t="s">
        <v>20</v>
      </c>
      <c r="N5" s="9" t="s">
        <v>21</v>
      </c>
      <c r="O5" s="9" t="s">
        <v>22</v>
      </c>
      <c r="P5" s="10" t="s">
        <v>23</v>
      </c>
      <c r="Q5" s="9" t="s">
        <v>24</v>
      </c>
      <c r="R5" s="9" t="s">
        <v>25</v>
      </c>
      <c r="S5" s="10" t="s">
        <v>26</v>
      </c>
      <c r="T5" s="10" t="s">
        <v>27</v>
      </c>
      <c r="U5" s="11" t="s">
        <v>28</v>
      </c>
      <c r="V5" s="11" t="s">
        <v>29</v>
      </c>
      <c r="W5" s="11" t="s">
        <v>30</v>
      </c>
    </row>
    <row r="6" customFormat="false" ht="18" hidden="false" customHeight="true" outlineLevel="0" collapsed="false">
      <c r="A6" s="12" t="s">
        <v>31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3" t="n">
        <v>5</v>
      </c>
      <c r="O6" s="13" t="n">
        <v>4</v>
      </c>
      <c r="P6" s="13" t="n">
        <v>5</v>
      </c>
      <c r="Q6" s="13" t="n">
        <v>3</v>
      </c>
      <c r="R6" s="13" t="n">
        <v>1</v>
      </c>
      <c r="S6" s="13" t="n">
        <v>4</v>
      </c>
      <c r="T6" s="13" t="n">
        <v>2</v>
      </c>
      <c r="U6" s="14" t="s">
        <v>32</v>
      </c>
      <c r="V6" s="14"/>
      <c r="W6" s="14"/>
    </row>
    <row r="7" customFormat="false" ht="21.75" hidden="false" customHeight="true" outlineLevel="0" collapsed="false">
      <c r="A7" s="15" t="s">
        <v>33</v>
      </c>
      <c r="B7" s="16" t="s">
        <v>34</v>
      </c>
      <c r="C7" s="17" t="n">
        <v>310</v>
      </c>
      <c r="D7" s="17" t="n">
        <v>185</v>
      </c>
      <c r="E7" s="17" t="n">
        <v>320</v>
      </c>
      <c r="F7" s="17" t="n">
        <f aca="false">MAX(C7,D7,E7)</f>
        <v>320</v>
      </c>
      <c r="G7" s="18" t="n">
        <v>2.5</v>
      </c>
      <c r="H7" s="19" t="n">
        <v>160</v>
      </c>
      <c r="I7" s="18" t="n">
        <v>1.2</v>
      </c>
      <c r="J7" s="19" t="n">
        <v>25</v>
      </c>
      <c r="K7" s="20" t="n">
        <v>0.45</v>
      </c>
      <c r="L7" s="21" t="n">
        <v>9</v>
      </c>
      <c r="M7" s="22" t="n">
        <f aca="false">H7+(K7*730+J7+L7)*8</f>
        <v>3060</v>
      </c>
      <c r="N7" s="23" t="n">
        <v>7</v>
      </c>
      <c r="O7" s="23" t="n">
        <v>8</v>
      </c>
      <c r="P7" s="24" t="n">
        <v>5</v>
      </c>
      <c r="Q7" s="23" t="n">
        <v>8</v>
      </c>
      <c r="R7" s="23" t="n">
        <v>8</v>
      </c>
      <c r="S7" s="24" t="n">
        <v>5</v>
      </c>
      <c r="T7" s="25" t="n">
        <v>8</v>
      </c>
      <c r="U7" s="26" t="n">
        <f aca="false">N7*$N$6+O7*$O$6+P7*$P$6+Q7*$Q$6+R7*$R$6+S7*$S$6+T7*$T$6</f>
        <v>160</v>
      </c>
      <c r="V7" s="27" t="n">
        <f aca="false">U7/240</f>
        <v>0.666666666666667</v>
      </c>
      <c r="W7" s="28" t="n">
        <f aca="false">RANK(U7,$U$7:$U$17,0)</f>
        <v>2</v>
      </c>
    </row>
    <row r="8" customFormat="false" ht="21.75" hidden="false" customHeight="true" outlineLevel="0" collapsed="false">
      <c r="A8" s="29" t="s">
        <v>35</v>
      </c>
      <c r="B8" s="30" t="s">
        <v>36</v>
      </c>
      <c r="C8" s="31" t="n">
        <v>340</v>
      </c>
      <c r="D8" s="31" t="n">
        <v>205</v>
      </c>
      <c r="E8" s="31" t="n">
        <v>290</v>
      </c>
      <c r="F8" s="31" t="n">
        <f aca="false">MAX(C8,D8,E8)</f>
        <v>340</v>
      </c>
      <c r="G8" s="32" t="n">
        <v>1.5</v>
      </c>
      <c r="H8" s="33" t="n">
        <v>90</v>
      </c>
      <c r="I8" s="32" t="n">
        <v>1</v>
      </c>
      <c r="J8" s="33" t="n">
        <v>18</v>
      </c>
      <c r="K8" s="34" t="n">
        <v>0.1</v>
      </c>
      <c r="L8" s="35" t="n">
        <v>11.5</v>
      </c>
      <c r="M8" s="22" t="n">
        <f aca="false">H8+(K8*730+J8+L8)*8</f>
        <v>910</v>
      </c>
      <c r="N8" s="36" t="n">
        <v>3</v>
      </c>
      <c r="O8" s="23" t="n">
        <v>7</v>
      </c>
      <c r="P8" s="36" t="n">
        <v>3</v>
      </c>
      <c r="Q8" s="23" t="n">
        <v>8</v>
      </c>
      <c r="R8" s="37" t="n">
        <v>9</v>
      </c>
      <c r="S8" s="38" t="n">
        <v>9</v>
      </c>
      <c r="T8" s="38" t="n">
        <v>9</v>
      </c>
      <c r="U8" s="26" t="n">
        <f aca="false">N8*$N$6+O8*$O$6+P8*$P$6+Q8*$Q$6+R8*$R$6+S8*$S$6+T8*$T$6</f>
        <v>145</v>
      </c>
      <c r="V8" s="27" t="n">
        <f aca="false">U8/240</f>
        <v>0.604166666666667</v>
      </c>
      <c r="W8" s="28" t="n">
        <f aca="false">RANK(U8,$U$7:$U$17,0)</f>
        <v>6</v>
      </c>
    </row>
    <row r="9" customFormat="false" ht="21.75" hidden="false" customHeight="true" outlineLevel="0" collapsed="false">
      <c r="A9" s="15" t="s">
        <v>37</v>
      </c>
      <c r="B9" s="16" t="s">
        <v>38</v>
      </c>
      <c r="C9" s="17" t="n">
        <v>355</v>
      </c>
      <c r="D9" s="17" t="n">
        <v>300</v>
      </c>
      <c r="E9" s="17" t="n">
        <v>380</v>
      </c>
      <c r="F9" s="17" t="n">
        <f aca="false">MAX(C9,D9,E9)</f>
        <v>380</v>
      </c>
      <c r="G9" s="18" t="n">
        <v>8</v>
      </c>
      <c r="H9" s="19" t="n">
        <v>550</v>
      </c>
      <c r="I9" s="18" t="n">
        <v>1.5</v>
      </c>
      <c r="J9" s="19" t="n">
        <v>150</v>
      </c>
      <c r="K9" s="20" t="n">
        <v>0.2</v>
      </c>
      <c r="L9" s="21" t="n">
        <v>26</v>
      </c>
      <c r="M9" s="22" t="n">
        <f aca="false">H9+(K9*730+J9+L9)*8</f>
        <v>3126</v>
      </c>
      <c r="N9" s="24" t="n">
        <v>5</v>
      </c>
      <c r="O9" s="24" t="n">
        <v>6</v>
      </c>
      <c r="P9" s="38" t="n">
        <v>9</v>
      </c>
      <c r="Q9" s="24" t="n">
        <v>6</v>
      </c>
      <c r="R9" s="39" t="n">
        <v>4</v>
      </c>
      <c r="S9" s="24" t="n">
        <v>5</v>
      </c>
      <c r="T9" s="39" t="n">
        <v>4</v>
      </c>
      <c r="U9" s="26" t="n">
        <f aca="false">N9*$N$6+O9*$O$6+P9*$P$6+Q9*$Q$6+R9*$R$6+S9*$S$6+T9*$T$6</f>
        <v>144</v>
      </c>
      <c r="V9" s="27" t="n">
        <f aca="false">U9/240</f>
        <v>0.6</v>
      </c>
      <c r="W9" s="28" t="n">
        <f aca="false">RANK(U9,$U$7:$U$17,0)</f>
        <v>7</v>
      </c>
    </row>
    <row r="10" customFormat="false" ht="21.75" hidden="false" customHeight="true" outlineLevel="0" collapsed="false">
      <c r="A10" s="29" t="s">
        <v>39</v>
      </c>
      <c r="B10" s="30" t="s">
        <v>40</v>
      </c>
      <c r="C10" s="31" t="n">
        <v>335</v>
      </c>
      <c r="D10" s="31" t="n">
        <v>190</v>
      </c>
      <c r="E10" s="31" t="n">
        <v>270</v>
      </c>
      <c r="F10" s="31" t="n">
        <f aca="false">MAX(C10,D10,E10)</f>
        <v>335</v>
      </c>
      <c r="G10" s="32" t="n">
        <v>1.8</v>
      </c>
      <c r="H10" s="33" t="n">
        <v>95</v>
      </c>
      <c r="I10" s="32" t="n">
        <v>1</v>
      </c>
      <c r="J10" s="33" t="n">
        <v>14</v>
      </c>
      <c r="K10" s="34" t="n">
        <v>0.1</v>
      </c>
      <c r="L10" s="35" t="n">
        <v>12</v>
      </c>
      <c r="M10" s="22" t="n">
        <f aca="false">H10+(K10*730+J10+L10)*8</f>
        <v>887</v>
      </c>
      <c r="N10" s="39" t="n">
        <v>4</v>
      </c>
      <c r="O10" s="23" t="n">
        <v>8</v>
      </c>
      <c r="P10" s="39" t="n">
        <v>4</v>
      </c>
      <c r="Q10" s="23" t="n">
        <v>8</v>
      </c>
      <c r="R10" s="37" t="n">
        <v>9</v>
      </c>
      <c r="S10" s="38" t="n">
        <v>9</v>
      </c>
      <c r="T10" s="38" t="n">
        <v>9</v>
      </c>
      <c r="U10" s="26" t="n">
        <f aca="false">N10*$N$6+O10*$O$6+P10*$P$6+Q10*$Q$6+R10*$R$6+S10*$S$6+T10*$T$6</f>
        <v>159</v>
      </c>
      <c r="V10" s="27" t="n">
        <f aca="false">U10/240</f>
        <v>0.6625</v>
      </c>
      <c r="W10" s="28" t="n">
        <f aca="false">RANK(U10,$U$7:$U$17,0)</f>
        <v>3</v>
      </c>
    </row>
    <row r="11" customFormat="false" ht="21.75" hidden="false" customHeight="true" outlineLevel="0" collapsed="false">
      <c r="A11" s="15" t="s">
        <v>41</v>
      </c>
      <c r="B11" s="16" t="s">
        <v>42</v>
      </c>
      <c r="C11" s="17" t="n">
        <v>395</v>
      </c>
      <c r="D11" s="17" t="n">
        <v>295</v>
      </c>
      <c r="E11" s="17" t="n">
        <v>450</v>
      </c>
      <c r="F11" s="17" t="n">
        <f aca="false">MAX(C11,D11,E11)</f>
        <v>450</v>
      </c>
      <c r="G11" s="18" t="n">
        <v>9</v>
      </c>
      <c r="H11" s="19" t="n">
        <v>700</v>
      </c>
      <c r="I11" s="18" t="n">
        <v>1.5</v>
      </c>
      <c r="J11" s="19" t="n">
        <v>55</v>
      </c>
      <c r="K11" s="20" t="n">
        <v>0.15</v>
      </c>
      <c r="L11" s="21" t="n">
        <v>20.5</v>
      </c>
      <c r="M11" s="22" t="n">
        <f aca="false">H11+(K11*730+J11+L11)*8</f>
        <v>2180</v>
      </c>
      <c r="N11" s="24" t="n">
        <v>6</v>
      </c>
      <c r="O11" s="23" t="n">
        <v>7</v>
      </c>
      <c r="P11" s="25" t="n">
        <v>8</v>
      </c>
      <c r="Q11" s="40" t="n">
        <v>2</v>
      </c>
      <c r="R11" s="39" t="n">
        <v>4</v>
      </c>
      <c r="S11" s="41" t="n">
        <v>7</v>
      </c>
      <c r="T11" s="39" t="n">
        <v>4</v>
      </c>
      <c r="U11" s="26" t="n">
        <f aca="false">N11*$N$6+O11*$O$6+P11*$P$6+Q11*$Q$6+R11*$R$6+S11*$S$6+T11*$T$6</f>
        <v>144</v>
      </c>
      <c r="V11" s="27" t="n">
        <f aca="false">U11/240</f>
        <v>0.6</v>
      </c>
      <c r="W11" s="28" t="n">
        <f aca="false">RANK(U11,$U$7:$U$17,0)</f>
        <v>7</v>
      </c>
    </row>
    <row r="12" customFormat="false" ht="21.75" hidden="false" customHeight="true" outlineLevel="0" collapsed="false">
      <c r="A12" s="29" t="s">
        <v>43</v>
      </c>
      <c r="B12" s="30" t="s">
        <v>44</v>
      </c>
      <c r="C12" s="31" t="n">
        <v>275</v>
      </c>
      <c r="D12" s="31" t="n">
        <v>105</v>
      </c>
      <c r="E12" s="31" t="n">
        <v>105</v>
      </c>
      <c r="F12" s="31" t="n">
        <f aca="false">MAX(C12,D12,E12)</f>
        <v>275</v>
      </c>
      <c r="G12" s="32" t="n">
        <v>0.5</v>
      </c>
      <c r="H12" s="33" t="n">
        <v>35</v>
      </c>
      <c r="I12" s="32" t="n">
        <v>2.5</v>
      </c>
      <c r="J12" s="33" t="n">
        <v>5</v>
      </c>
      <c r="K12" s="34" t="n">
        <v>0.12</v>
      </c>
      <c r="L12" s="35" t="n">
        <v>10.5</v>
      </c>
      <c r="M12" s="22" t="n">
        <f aca="false">H12+(K12*730+J12+L12)*8</f>
        <v>859.8</v>
      </c>
      <c r="N12" s="40" t="n">
        <v>2</v>
      </c>
      <c r="O12" s="36" t="n">
        <v>3</v>
      </c>
      <c r="P12" s="24" t="n">
        <v>5</v>
      </c>
      <c r="Q12" s="37" t="n">
        <v>10</v>
      </c>
      <c r="R12" s="37" t="n">
        <v>10</v>
      </c>
      <c r="S12" s="38" t="n">
        <v>9</v>
      </c>
      <c r="T12" s="42" t="n">
        <v>10</v>
      </c>
      <c r="U12" s="26" t="n">
        <f aca="false">N12*$N$6+O12*$O$6+P12*$P$6+Q12*$Q$6+R12*$R$6+S12*$S$6+T12*$T$6</f>
        <v>143</v>
      </c>
      <c r="V12" s="27" t="n">
        <f aca="false">U12/240</f>
        <v>0.595833333333333</v>
      </c>
      <c r="W12" s="28" t="n">
        <f aca="false">RANK(U12,$U$7:$U$17,0)</f>
        <v>9</v>
      </c>
    </row>
    <row r="13" customFormat="false" ht="21.75" hidden="false" customHeight="true" outlineLevel="0" collapsed="false">
      <c r="A13" s="15" t="s">
        <v>45</v>
      </c>
      <c r="B13" s="16" t="s">
        <v>46</v>
      </c>
      <c r="C13" s="17" t="n">
        <v>265</v>
      </c>
      <c r="D13" s="17" t="n">
        <v>130</v>
      </c>
      <c r="E13" s="17" t="n">
        <v>130</v>
      </c>
      <c r="F13" s="17" t="n">
        <f aca="false">MAX(C13,D13,E13)</f>
        <v>265</v>
      </c>
      <c r="G13" s="18" t="n">
        <v>0.4</v>
      </c>
      <c r="H13" s="19" t="n">
        <v>50</v>
      </c>
      <c r="I13" s="18" t="n">
        <v>2.5</v>
      </c>
      <c r="J13" s="19" t="n">
        <v>4</v>
      </c>
      <c r="K13" s="20" t="n">
        <v>0.12</v>
      </c>
      <c r="L13" s="21" t="n">
        <v>10</v>
      </c>
      <c r="M13" s="22" t="n">
        <f aca="false">H13+(K13*730+J13+L13)*8</f>
        <v>862.8</v>
      </c>
      <c r="N13" s="40" t="n">
        <v>2</v>
      </c>
      <c r="O13" s="36" t="n">
        <v>3</v>
      </c>
      <c r="P13" s="24" t="n">
        <v>6</v>
      </c>
      <c r="Q13" s="37" t="n">
        <v>10</v>
      </c>
      <c r="R13" s="37" t="n">
        <v>10</v>
      </c>
      <c r="S13" s="38" t="n">
        <v>9</v>
      </c>
      <c r="T13" s="42" t="n">
        <v>10</v>
      </c>
      <c r="U13" s="26" t="n">
        <f aca="false">N13*$N$6+O13*$O$6+P13*$P$6+Q13*$Q$6+R13*$R$6+S13*$S$6+T13*$T$6</f>
        <v>148</v>
      </c>
      <c r="V13" s="27" t="n">
        <f aca="false">U13/240</f>
        <v>0.616666666666667</v>
      </c>
      <c r="W13" s="28" t="n">
        <f aca="false">RANK(U13,$U$7:$U$17,0)</f>
        <v>5</v>
      </c>
    </row>
    <row r="14" customFormat="false" ht="21.75" hidden="false" customHeight="true" outlineLevel="0" collapsed="false">
      <c r="A14" s="29" t="s">
        <v>47</v>
      </c>
      <c r="B14" s="30" t="s">
        <v>48</v>
      </c>
      <c r="C14" s="31" t="n">
        <v>250</v>
      </c>
      <c r="D14" s="31" t="n">
        <v>95</v>
      </c>
      <c r="E14" s="31" t="n">
        <v>95</v>
      </c>
      <c r="F14" s="31" t="n">
        <f aca="false">MAX(C14,D14,E14)</f>
        <v>250</v>
      </c>
      <c r="G14" s="32" t="n">
        <v>0.3</v>
      </c>
      <c r="H14" s="33" t="n">
        <v>40</v>
      </c>
      <c r="I14" s="32" t="n">
        <v>2.5</v>
      </c>
      <c r="J14" s="33" t="n">
        <v>3</v>
      </c>
      <c r="K14" s="34" t="n">
        <v>0.12</v>
      </c>
      <c r="L14" s="35" t="n">
        <v>10.5</v>
      </c>
      <c r="M14" s="22" t="n">
        <f aca="false">H14+(K14*730+J14+L14)*8</f>
        <v>848.8</v>
      </c>
      <c r="N14" s="36" t="n">
        <v>3</v>
      </c>
      <c r="O14" s="36" t="n">
        <v>3</v>
      </c>
      <c r="P14" s="24" t="n">
        <v>6</v>
      </c>
      <c r="Q14" s="37" t="n">
        <v>10</v>
      </c>
      <c r="R14" s="37" t="n">
        <v>10</v>
      </c>
      <c r="S14" s="38" t="n">
        <v>9</v>
      </c>
      <c r="T14" s="42" t="n">
        <v>10</v>
      </c>
      <c r="U14" s="26" t="n">
        <f aca="false">N14*$N$6+O14*$O$6+P14*$P$6+Q14*$Q$6+R14*$R$6+S14*$S$6+T14*$T$6</f>
        <v>153</v>
      </c>
      <c r="V14" s="27" t="n">
        <f aca="false">U14/240</f>
        <v>0.6375</v>
      </c>
      <c r="W14" s="28" t="n">
        <f aca="false">RANK(U14,$U$7:$U$17,0)</f>
        <v>4</v>
      </c>
    </row>
    <row r="15" customFormat="false" ht="21.75" hidden="false" customHeight="true" outlineLevel="0" collapsed="false">
      <c r="A15" s="15" t="s">
        <v>49</v>
      </c>
      <c r="B15" s="16" t="s">
        <v>50</v>
      </c>
      <c r="C15" s="17" t="n">
        <v>210</v>
      </c>
      <c r="D15" s="17" t="n">
        <v>108</v>
      </c>
      <c r="E15" s="17" t="n">
        <v>108</v>
      </c>
      <c r="F15" s="17" t="n">
        <f aca="false">MAX(C15,D15,E15)</f>
        <v>210</v>
      </c>
      <c r="G15" s="18" t="n">
        <v>0.5</v>
      </c>
      <c r="H15" s="19" t="n">
        <v>35</v>
      </c>
      <c r="I15" s="18" t="n">
        <v>1.8</v>
      </c>
      <c r="J15" s="19" t="n">
        <v>5</v>
      </c>
      <c r="K15" s="20" t="n">
        <v>0.07</v>
      </c>
      <c r="L15" s="21" t="n">
        <v>11.5</v>
      </c>
      <c r="M15" s="22" t="n">
        <f aca="false">H15+(K15*730+J15+L15)*8</f>
        <v>575.8</v>
      </c>
      <c r="N15" s="43" t="n">
        <v>1</v>
      </c>
      <c r="O15" s="43" t="n">
        <v>1</v>
      </c>
      <c r="P15" s="24" t="n">
        <v>5</v>
      </c>
      <c r="Q15" s="37" t="n">
        <v>10</v>
      </c>
      <c r="R15" s="37" t="n">
        <v>10</v>
      </c>
      <c r="S15" s="42" t="n">
        <v>10</v>
      </c>
      <c r="T15" s="41" t="n">
        <v>7</v>
      </c>
      <c r="U15" s="26" t="n">
        <f aca="false">N15*$N$6+O15*$O$6+P15*$P$6+Q15*$Q$6+R15*$R$6+S15*$S$6+T15*$T$6</f>
        <v>128</v>
      </c>
      <c r="V15" s="27" t="n">
        <f aca="false">U15/240</f>
        <v>0.533333333333333</v>
      </c>
      <c r="W15" s="28" t="n">
        <f aca="false">RANK(U15,$U$7:$U$17,0)</f>
        <v>11</v>
      </c>
    </row>
    <row r="16" customFormat="false" ht="21.75" hidden="false" customHeight="true" outlineLevel="0" collapsed="false">
      <c r="A16" s="29" t="s">
        <v>51</v>
      </c>
      <c r="B16" s="30" t="s">
        <v>52</v>
      </c>
      <c r="C16" s="31" t="n">
        <v>375</v>
      </c>
      <c r="D16" s="31" t="n">
        <v>275</v>
      </c>
      <c r="E16" s="31" t="n">
        <v>370</v>
      </c>
      <c r="F16" s="31" t="n">
        <f aca="false">MAX(C16,D16,E16)</f>
        <v>375</v>
      </c>
      <c r="G16" s="32" t="n">
        <v>7</v>
      </c>
      <c r="H16" s="33" t="n">
        <v>700</v>
      </c>
      <c r="I16" s="32" t="n">
        <v>1.4</v>
      </c>
      <c r="J16" s="33" t="n">
        <v>80</v>
      </c>
      <c r="K16" s="34" t="n">
        <v>0.3</v>
      </c>
      <c r="L16" s="35" t="n">
        <v>15.5</v>
      </c>
      <c r="M16" s="22" t="n">
        <f aca="false">H16+(K16*730+J16+L16)*8</f>
        <v>3216</v>
      </c>
      <c r="N16" s="23" t="n">
        <v>8</v>
      </c>
      <c r="O16" s="23" t="n">
        <v>8</v>
      </c>
      <c r="P16" s="41" t="n">
        <v>7</v>
      </c>
      <c r="Q16" s="24" t="n">
        <v>6</v>
      </c>
      <c r="R16" s="24" t="n">
        <v>6</v>
      </c>
      <c r="S16" s="24" t="n">
        <v>5</v>
      </c>
      <c r="T16" s="24" t="n">
        <v>6</v>
      </c>
      <c r="U16" s="26" t="n">
        <f aca="false">N16*$N$6+O16*$O$6+P16*$P$6+Q16*$Q$6+R16*$R$6+S16*$S$6+T16*$T$6</f>
        <v>163</v>
      </c>
      <c r="V16" s="27" t="n">
        <f aca="false">U16/240</f>
        <v>0.679166666666667</v>
      </c>
      <c r="W16" s="28" t="n">
        <f aca="false">RANK(U16,$U$7:$U$17,0)</f>
        <v>1</v>
      </c>
    </row>
    <row r="17" customFormat="false" ht="21.75" hidden="false" customHeight="true" outlineLevel="0" collapsed="false">
      <c r="A17" s="15" t="s">
        <v>53</v>
      </c>
      <c r="B17" s="16" t="s">
        <v>54</v>
      </c>
      <c r="C17" s="17" t="n">
        <v>490</v>
      </c>
      <c r="D17" s="17" t="n">
        <v>375</v>
      </c>
      <c r="E17" s="17" t="n">
        <v>520</v>
      </c>
      <c r="F17" s="17" t="n">
        <f aca="false">MAX(C17,D17,E17)</f>
        <v>520</v>
      </c>
      <c r="G17" s="18" t="n">
        <v>15</v>
      </c>
      <c r="H17" s="19" t="n">
        <v>4000</v>
      </c>
      <c r="I17" s="18" t="n">
        <v>2</v>
      </c>
      <c r="J17" s="19" t="n">
        <v>300</v>
      </c>
      <c r="K17" s="20" t="n">
        <v>0.2</v>
      </c>
      <c r="L17" s="21" t="n">
        <v>22.5</v>
      </c>
      <c r="M17" s="22" t="n">
        <f aca="false">H17+(K17*730+J17+L17)*8</f>
        <v>7748</v>
      </c>
      <c r="N17" s="23" t="n">
        <v>8</v>
      </c>
      <c r="O17" s="37" t="n">
        <v>9</v>
      </c>
      <c r="P17" s="25" t="n">
        <v>8</v>
      </c>
      <c r="Q17" s="43" t="n">
        <v>1</v>
      </c>
      <c r="R17" s="40" t="n">
        <v>2</v>
      </c>
      <c r="S17" s="40" t="n">
        <v>2</v>
      </c>
      <c r="T17" s="24" t="n">
        <v>5</v>
      </c>
      <c r="U17" s="26" t="n">
        <f aca="false">N17*$N$6+O17*$O$6+P17*$P$6+Q17*$Q$6+R17*$R$6+S17*$S$6+T17*$T$6</f>
        <v>139</v>
      </c>
      <c r="V17" s="27" t="n">
        <f aca="false">U17/240</f>
        <v>0.579166666666667</v>
      </c>
      <c r="W17" s="28" t="n">
        <f aca="false">RANK(U17,$U$7:$U$17,0)</f>
        <v>10</v>
      </c>
    </row>
  </sheetData>
  <mergeCells count="9">
    <mergeCell ref="A1:W1"/>
    <mergeCell ref="A2:W2"/>
    <mergeCell ref="A4:B4"/>
    <mergeCell ref="C4:M4"/>
    <mergeCell ref="N4:O4"/>
    <mergeCell ref="Q4:R4"/>
    <mergeCell ref="V4:W4"/>
    <mergeCell ref="A6:M6"/>
    <mergeCell ref="U6:W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4"/>
    <col collapsed="false" customWidth="true" hidden="false" outlineLevel="0" max="4" min="4" style="0" width="18"/>
    <col collapsed="false" customWidth="true" hidden="false" outlineLevel="0" max="5" min="5" style="0" width="24"/>
    <col collapsed="false" customWidth="true" hidden="false" outlineLevel="0" max="6" min="6" style="0" width="22"/>
    <col collapsed="false" customWidth="true" hidden="false" outlineLevel="0" max="7" min="7" style="0" width="8"/>
  </cols>
  <sheetData>
    <row r="1" customFormat="false" ht="25.5" hidden="false" customHeight="true" outlineLevel="0" collapsed="false">
      <c r="A1" s="1" t="s">
        <v>55</v>
      </c>
      <c r="B1" s="1"/>
      <c r="C1" s="1"/>
      <c r="D1" s="1"/>
      <c r="E1" s="1"/>
      <c r="F1" s="1"/>
      <c r="G1" s="1"/>
    </row>
    <row r="3" customFormat="false" ht="15" hidden="false" customHeight="true" outlineLevel="0" collapsed="false">
      <c r="A3" s="44" t="s">
        <v>56</v>
      </c>
      <c r="B3" s="44"/>
      <c r="C3" s="44"/>
      <c r="D3" s="44"/>
      <c r="E3" s="44"/>
      <c r="F3" s="44"/>
      <c r="G3" s="44"/>
    </row>
    <row r="4" customFormat="false" ht="18" hidden="false" customHeight="true" outlineLevel="0" collapsed="false">
      <c r="A4" s="9" t="s">
        <v>57</v>
      </c>
      <c r="B4" s="9" t="s">
        <v>58</v>
      </c>
      <c r="C4" s="9" t="s">
        <v>59</v>
      </c>
      <c r="D4" s="9" t="s">
        <v>25</v>
      </c>
      <c r="E4" s="9" t="s">
        <v>60</v>
      </c>
      <c r="F4" s="9" t="s">
        <v>61</v>
      </c>
      <c r="G4" s="9" t="s">
        <v>62</v>
      </c>
    </row>
    <row r="5" customFormat="false" ht="33.75" hidden="false" customHeight="true" outlineLevel="0" collapsed="false">
      <c r="A5" s="45" t="s">
        <v>21</v>
      </c>
      <c r="B5" s="45" t="s">
        <v>63</v>
      </c>
      <c r="C5" s="45" t="s">
        <v>64</v>
      </c>
      <c r="D5" s="45" t="n">
        <v>5</v>
      </c>
      <c r="E5" s="45" t="n">
        <v>50</v>
      </c>
      <c r="F5" s="45" t="s">
        <v>65</v>
      </c>
      <c r="G5" s="45" t="s">
        <v>66</v>
      </c>
    </row>
    <row r="6" customFormat="false" ht="33.75" hidden="false" customHeight="true" outlineLevel="0" collapsed="false">
      <c r="A6" s="45" t="s">
        <v>22</v>
      </c>
      <c r="B6" s="45" t="s">
        <v>67</v>
      </c>
      <c r="C6" s="45" t="s">
        <v>64</v>
      </c>
      <c r="D6" s="45" t="n">
        <v>4</v>
      </c>
      <c r="E6" s="45" t="n">
        <v>40</v>
      </c>
      <c r="F6" s="45" t="s">
        <v>68</v>
      </c>
      <c r="G6" s="45" t="s">
        <v>66</v>
      </c>
    </row>
    <row r="7" customFormat="false" ht="33.75" hidden="false" customHeight="true" outlineLevel="0" collapsed="false">
      <c r="A7" s="46" t="s">
        <v>23</v>
      </c>
      <c r="B7" s="46" t="s">
        <v>69</v>
      </c>
      <c r="C7" s="46" t="s">
        <v>64</v>
      </c>
      <c r="D7" s="46" t="n">
        <v>5</v>
      </c>
      <c r="E7" s="46" t="n">
        <v>50</v>
      </c>
      <c r="F7" s="46" t="s">
        <v>70</v>
      </c>
      <c r="G7" s="46" t="s">
        <v>71</v>
      </c>
    </row>
    <row r="8" customFormat="false" ht="33.75" hidden="false" customHeight="true" outlineLevel="0" collapsed="false">
      <c r="A8" s="45" t="s">
        <v>24</v>
      </c>
      <c r="B8" s="45" t="s">
        <v>72</v>
      </c>
      <c r="C8" s="45" t="s">
        <v>73</v>
      </c>
      <c r="D8" s="45" t="n">
        <v>3</v>
      </c>
      <c r="E8" s="45" t="n">
        <v>30</v>
      </c>
      <c r="F8" s="45" t="s">
        <v>74</v>
      </c>
      <c r="G8" s="45" t="s">
        <v>66</v>
      </c>
    </row>
    <row r="9" customFormat="false" ht="33.75" hidden="false" customHeight="true" outlineLevel="0" collapsed="false">
      <c r="A9" s="46" t="s">
        <v>75</v>
      </c>
      <c r="B9" s="46" t="s">
        <v>76</v>
      </c>
      <c r="C9" s="46" t="s">
        <v>77</v>
      </c>
      <c r="D9" s="46" t="n">
        <v>4</v>
      </c>
      <c r="E9" s="46" t="n">
        <v>40</v>
      </c>
      <c r="F9" s="46" t="s">
        <v>78</v>
      </c>
      <c r="G9" s="46" t="s">
        <v>79</v>
      </c>
    </row>
    <row r="10" customFormat="false" ht="33.75" hidden="false" customHeight="true" outlineLevel="0" collapsed="false">
      <c r="A10" s="46" t="s">
        <v>27</v>
      </c>
      <c r="B10" s="46" t="s">
        <v>80</v>
      </c>
      <c r="C10" s="46" t="s">
        <v>64</v>
      </c>
      <c r="D10" s="46" t="n">
        <v>2</v>
      </c>
      <c r="E10" s="46" t="n">
        <v>20</v>
      </c>
      <c r="F10" s="46" t="s">
        <v>81</v>
      </c>
      <c r="G10" s="46" t="s">
        <v>71</v>
      </c>
    </row>
    <row r="11" customFormat="false" ht="33.75" hidden="false" customHeight="true" outlineLevel="0" collapsed="false">
      <c r="A11" s="45" t="s">
        <v>25</v>
      </c>
      <c r="B11" s="45" t="s">
        <v>82</v>
      </c>
      <c r="C11" s="45" t="s">
        <v>83</v>
      </c>
      <c r="D11" s="45" t="n">
        <v>1</v>
      </c>
      <c r="E11" s="45" t="n">
        <v>10</v>
      </c>
      <c r="F11" s="45" t="s">
        <v>84</v>
      </c>
      <c r="G11" s="45" t="s">
        <v>66</v>
      </c>
    </row>
    <row r="12" customFormat="false" ht="43.5" hidden="false" customHeight="true" outlineLevel="0" collapsed="false">
      <c r="A12" s="47" t="s">
        <v>85</v>
      </c>
      <c r="B12" s="47"/>
      <c r="C12" s="47"/>
      <c r="D12" s="47" t="n">
        <v>24</v>
      </c>
      <c r="E12" s="47" t="n">
        <v>240</v>
      </c>
      <c r="F12" s="47"/>
      <c r="G12" s="47"/>
    </row>
    <row r="14" customFormat="false" ht="15" hidden="false" customHeight="true" outlineLevel="0" collapsed="false">
      <c r="A14" s="44" t="s">
        <v>86</v>
      </c>
      <c r="B14" s="44"/>
      <c r="C14" s="44"/>
      <c r="D14" s="44"/>
      <c r="E14" s="44"/>
      <c r="F14" s="44"/>
      <c r="G14" s="44"/>
    </row>
    <row r="15" customFormat="false" ht="30" hidden="false" customHeight="true" outlineLevel="0" collapsed="false">
      <c r="A15" s="9" t="s">
        <v>87</v>
      </c>
      <c r="B15" s="9" t="s">
        <v>88</v>
      </c>
      <c r="C15" s="9" t="s">
        <v>89</v>
      </c>
      <c r="D15" s="9" t="s">
        <v>90</v>
      </c>
      <c r="E15" s="9" t="s">
        <v>91</v>
      </c>
      <c r="F15" s="9" t="s">
        <v>92</v>
      </c>
      <c r="G15" s="9" t="s">
        <v>64</v>
      </c>
    </row>
    <row r="16" customFormat="false" ht="18" hidden="false" customHeight="true" outlineLevel="0" collapsed="false">
      <c r="A16" s="48" t="n">
        <v>10</v>
      </c>
      <c r="B16" s="49" t="s">
        <v>93</v>
      </c>
      <c r="C16" s="49" t="s">
        <v>94</v>
      </c>
      <c r="D16" s="49" t="s">
        <v>95</v>
      </c>
      <c r="E16" s="49" t="s">
        <v>96</v>
      </c>
      <c r="F16" s="49" t="s">
        <v>97</v>
      </c>
      <c r="G16" s="49"/>
    </row>
    <row r="17" customFormat="false" ht="18" hidden="false" customHeight="true" outlineLevel="0" collapsed="false">
      <c r="A17" s="50" t="n">
        <v>9</v>
      </c>
      <c r="B17" s="51" t="s">
        <v>98</v>
      </c>
      <c r="C17" s="51" t="s">
        <v>99</v>
      </c>
      <c r="D17" s="51" t="s">
        <v>100</v>
      </c>
      <c r="E17" s="51" t="s">
        <v>101</v>
      </c>
      <c r="F17" s="51" t="s">
        <v>102</v>
      </c>
      <c r="G17" s="51"/>
    </row>
    <row r="18" customFormat="false" ht="18" hidden="false" customHeight="true" outlineLevel="0" collapsed="false">
      <c r="A18" s="52" t="n">
        <v>8</v>
      </c>
      <c r="B18" s="53" t="s">
        <v>103</v>
      </c>
      <c r="C18" s="53" t="s">
        <v>104</v>
      </c>
      <c r="D18" s="53" t="s">
        <v>105</v>
      </c>
      <c r="E18" s="53" t="s">
        <v>106</v>
      </c>
      <c r="F18" s="53" t="s">
        <v>107</v>
      </c>
      <c r="G18" s="53"/>
    </row>
    <row r="19" customFormat="false" ht="18" hidden="false" customHeight="true" outlineLevel="0" collapsed="false">
      <c r="A19" s="54" t="n">
        <v>7</v>
      </c>
      <c r="B19" s="55" t="s">
        <v>108</v>
      </c>
      <c r="C19" s="55" t="s">
        <v>64</v>
      </c>
      <c r="D19" s="55" t="s">
        <v>109</v>
      </c>
      <c r="E19" s="55" t="s">
        <v>110</v>
      </c>
      <c r="F19" s="55" t="s">
        <v>64</v>
      </c>
      <c r="G19" s="55"/>
    </row>
    <row r="20" customFormat="false" ht="18" hidden="false" customHeight="true" outlineLevel="0" collapsed="false">
      <c r="A20" s="56" t="n">
        <v>6</v>
      </c>
      <c r="B20" s="57" t="s">
        <v>64</v>
      </c>
      <c r="C20" s="57" t="s">
        <v>111</v>
      </c>
      <c r="D20" s="57" t="s">
        <v>112</v>
      </c>
      <c r="E20" s="57" t="s">
        <v>64</v>
      </c>
      <c r="F20" s="57" t="s">
        <v>113</v>
      </c>
      <c r="G20" s="57"/>
    </row>
    <row r="21" customFormat="false" ht="18" hidden="false" customHeight="true" outlineLevel="0" collapsed="false">
      <c r="A21" s="56" t="n">
        <v>5</v>
      </c>
      <c r="B21" s="57" t="s">
        <v>114</v>
      </c>
      <c r="C21" s="57" t="s">
        <v>64</v>
      </c>
      <c r="D21" s="57" t="s">
        <v>115</v>
      </c>
      <c r="E21" s="57" t="s">
        <v>116</v>
      </c>
      <c r="F21" s="57" t="s">
        <v>117</v>
      </c>
      <c r="G21" s="57"/>
    </row>
    <row r="22" customFormat="false" ht="18" hidden="false" customHeight="true" outlineLevel="0" collapsed="false">
      <c r="A22" s="58" t="n">
        <v>4</v>
      </c>
      <c r="B22" s="59" t="s">
        <v>64</v>
      </c>
      <c r="C22" s="59" t="s">
        <v>118</v>
      </c>
      <c r="D22" s="59" t="s">
        <v>119</v>
      </c>
      <c r="E22" s="59" t="s">
        <v>64</v>
      </c>
      <c r="F22" s="59" t="s">
        <v>64</v>
      </c>
      <c r="G22" s="59"/>
    </row>
    <row r="23" customFormat="false" ht="18" hidden="false" customHeight="true" outlineLevel="0" collapsed="false">
      <c r="A23" s="60" t="n">
        <v>3</v>
      </c>
      <c r="B23" s="61" t="s">
        <v>120</v>
      </c>
      <c r="C23" s="61" t="s">
        <v>64</v>
      </c>
      <c r="D23" s="61" t="s">
        <v>121</v>
      </c>
      <c r="E23" s="61" t="s">
        <v>122</v>
      </c>
      <c r="F23" s="61" t="s">
        <v>123</v>
      </c>
      <c r="G23" s="61"/>
    </row>
    <row r="24" customFormat="false" ht="18" hidden="false" customHeight="true" outlineLevel="0" collapsed="false">
      <c r="A24" s="62" t="n">
        <v>2</v>
      </c>
      <c r="B24" s="63" t="s">
        <v>64</v>
      </c>
      <c r="C24" s="63" t="s">
        <v>124</v>
      </c>
      <c r="D24" s="63" t="s">
        <v>125</v>
      </c>
      <c r="E24" s="63" t="s">
        <v>64</v>
      </c>
      <c r="F24" s="63" t="s">
        <v>64</v>
      </c>
      <c r="G24" s="63"/>
    </row>
    <row r="25" customFormat="false" ht="18" hidden="false" customHeight="true" outlineLevel="0" collapsed="false">
      <c r="A25" s="64" t="n">
        <v>1</v>
      </c>
      <c r="B25" s="65" t="s">
        <v>126</v>
      </c>
      <c r="C25" s="65" t="s">
        <v>127</v>
      </c>
      <c r="D25" s="65" t="s">
        <v>128</v>
      </c>
      <c r="E25" s="65" t="s">
        <v>129</v>
      </c>
      <c r="F25" s="65" t="s">
        <v>130</v>
      </c>
      <c r="G25" s="65"/>
    </row>
    <row r="27" customFormat="false" ht="63.75" hidden="false" customHeight="true" outlineLevel="0" collapsed="false">
      <c r="A27" s="66" t="s">
        <v>131</v>
      </c>
      <c r="B27" s="66"/>
      <c r="C27" s="66"/>
      <c r="D27" s="66"/>
      <c r="E27" s="66"/>
      <c r="F27" s="66"/>
      <c r="G27" s="66"/>
    </row>
  </sheetData>
  <mergeCells count="4">
    <mergeCell ref="A1:G1"/>
    <mergeCell ref="A3:G3"/>
    <mergeCell ref="A14:G14"/>
    <mergeCell ref="A27:G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2026-06-22T07:37:39Z</dcterms:created>
  <dc:creator>openpyxl</dc:creator>
  <dc:description/>
  <dc:language>en-US</dc:language>
  <cp:lastModifiedBy/>
  <dcterms:modified xsi:type="dcterms:W3CDTF">2026-06-22T07:37:39Z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